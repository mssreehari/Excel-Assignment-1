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reeh\Downloads\ENTRI classes\"/>
    </mc:Choice>
  </mc:AlternateContent>
  <xr:revisionPtr revIDLastSave="0" documentId="13_ncr:1_{BB6DAE93-08DA-4AB2-A26B-CFA7E803FD10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2" i="2" l="1"/>
  <c r="I2" i="2"/>
  <c r="H2" i="2"/>
  <c r="M20" i="2"/>
  <c r="M16" i="2"/>
  <c r="M1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M21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M17" i="2"/>
  <c r="M12" i="2"/>
  <c r="M11" i="2"/>
</calcChain>
</file>

<file path=xl/sharedStrings.xml><?xml version="1.0" encoding="utf-8"?>
<sst xmlns="http://schemas.openxmlformats.org/spreadsheetml/2006/main" count="174" uniqueCount="125">
  <si>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</si>
  <si>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</si>
  <si>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</si>
  <si>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</si>
  <si>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</si>
  <si>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</si>
  <si>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</si>
  <si>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</si>
  <si>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</si>
  <si>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</si>
  <si>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</si>
  <si>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</si>
  <si>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</si>
  <si>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</si>
  <si>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</si>
  <si>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</si>
  <si>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</si>
  <si>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</si>
  <si>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</si>
  <si>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</si>
  <si>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</si>
  <si>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</si>
  <si>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</si>
  <si>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</si>
  <si>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</si>
  <si>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</si>
  <si>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</si>
  <si>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</si>
  <si>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</si>
  <si>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</si>
  <si>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</si>
  <si>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</si>
  <si>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</si>
  <si>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</si>
  <si>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</si>
  <si>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</si>
  <si>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</si>
  <si>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</si>
  <si>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</si>
  <si>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</si>
  <si>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</si>
  <si>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</si>
  <si>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</si>
  <si>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</si>
  <si>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</si>
  <si>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</si>
  <si>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</si>
  <si>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</si>
  <si>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</si>
  <si>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</si>
  <si>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</si>
  <si>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</si>
  <si>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</si>
  <si>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</si>
  <si>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</si>
  <si>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</si>
  <si>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</si>
  <si>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</si>
  <si>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</si>
  <si>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</si>
  <si>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</si>
  <si>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</si>
  <si>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</si>
  <si>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</si>
  <si>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</si>
  <si>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</si>
  <si>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</si>
  <si>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</si>
  <si>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</si>
  <si>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</si>
  <si>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</si>
  <si>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</si>
  <si>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</si>
  <si>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</si>
  <si>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</si>
  <si>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</si>
  <si>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</si>
  <si>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</si>
  <si>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</si>
  <si>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</si>
  <si>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</si>
  <si>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</si>
  <si>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</si>
  <si>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</si>
  <si>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</si>
  <si>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</si>
  <si>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</si>
  <si>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</si>
  <si>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</si>
  <si>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</si>
  <si>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</si>
  <si>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</si>
  <si>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</si>
  <si>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</si>
  <si>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</si>
  <si>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</si>
  <si>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</si>
  <si>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</si>
  <si>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</si>
  <si>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</si>
  <si>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</si>
  <si>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</si>
  <si>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</si>
  <si>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</si>
  <si>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</si>
  <si>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</si>
  <si>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</si>
  <si>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</si>
  <si>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</si>
  <si>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</si>
  <si>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1st question</t>
  </si>
  <si>
    <t xml:space="preserve"> total price of all products in the dataset</t>
  </si>
  <si>
    <t>How many products are there in the dataset</t>
  </si>
  <si>
    <t>the average price of the products.</t>
  </si>
  <si>
    <t>2nd question</t>
  </si>
  <si>
    <t>the minimum price among all products.</t>
  </si>
  <si>
    <t xml:space="preserve"> maximum price among all products</t>
  </si>
  <si>
    <t>Price Range</t>
  </si>
  <si>
    <t>4th question</t>
  </si>
  <si>
    <t xml:space="preserve"> total price for products in the 'Electronics' category using the SUMIF function.</t>
  </si>
  <si>
    <t xml:space="preserve"> the count of products with a price less than $100 using the COUNTIF function</t>
  </si>
  <si>
    <t>Day</t>
  </si>
  <si>
    <t>Country Code</t>
  </si>
  <si>
    <t>Month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</si>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</sst>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u/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2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2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551A09-5BF3-4C73-A72E-D694028B3305}" name="Table2" displayName="Table2" ref="A1:J35" totalsRowShown="0" headerRowDxfId="11" dataDxfId="10">
  <autoFilter ref="A1:J35" xr:uid="{46551A09-5BF3-4C73-A72E-D694028B3305}"/>
  <tableColumns count="10">
    <tableColumn id="1" xr3:uid="{0384BBB3-D39B-43E5-B6A7-BF372DC6CF3B}" name="Product ID" dataDxfId="9"/>
    <tableColumn id="2" xr3:uid="{7B4E0E12-CA71-4221-BD1D-4E246734C07A}" name="Product Name" dataDxfId="8"/>
    <tableColumn id="3" xr3:uid="{32B0C291-B1F5-49A4-AD70-28AA98C6CC58}" name="Brand Name" dataDxfId="7"/>
    <tableColumn id="4" xr3:uid="{E1059693-AFD4-4E32-8E96-1E86374BB58A}" name="Price ($)" dataDxfId="6"/>
    <tableColumn id="5" xr3:uid="{95FB088F-0A80-4E88-9F93-AF7C8A373C18}" name="Quantity" dataDxfId="5"/>
    <tableColumn id="6" xr3:uid="{C36FCBB3-58FD-4987-991F-1147F2608276}" name="Category" dataDxfId="4"/>
    <tableColumn id="7" xr3:uid="{9750B9B2-F5C2-4FBD-89F3-DCBB15CEA225}" name="Price Range" dataDxfId="3">
      <calculatedColumnFormula>IF(D2&gt;500,"High Price","Standard Price")</calculatedColumnFormula>
    </tableColumn>
    <tableColumn id="8" xr3:uid="{4C46B93C-4C8E-4EEB-BA1D-8652692A20E3}" name="Day" dataDxfId="2">
      <calculatedColumnFormula>LEFT(Table2[[#This Row],[Product ID]],2)</calculatedColumnFormula>
    </tableColumn>
    <tableColumn id="9" xr3:uid="{3E2B85A4-EE37-4C87-A757-954A4FA1543A}" name="Country Code" dataDxfId="1">
      <calculatedColumnFormula>RIGHT(Table2[[#This Row],[Product ID]],2)</calculatedColumnFormula>
    </tableColumn>
    <tableColumn id="10" xr3:uid="{FD8CD313-8FF1-41C0-94D8-646D3D0BE3DB}" name="Month" dataDxfId="0">
      <calculatedColumnFormula>MID(Table2[[#This Row],[Product ID]],4,3)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0C0D7E-1887-4CE0-A31D-25A63FFBE313}" name="Table3" displayName="Table3" ref="L10:M21" totalsRowShown="0">
  <autoFilter ref="L10:M21" xr:uid="{540C0D7E-1887-4CE0-A31D-25A63FFBE313}"/>
  <tableColumns count="2">
    <tableColumn id="1" xr3:uid="{0E504180-5268-466A-9536-827F77853A3B}" name="1st question"/>
    <tableColumn id="2" xr3:uid="{DC7A489E-417A-44BD-8FF9-DF2527B4D994}" name="Answer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3" workbookViewId="0">
      <selection activeCell="F20" sqref="F20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9" t="s">
        <v>2</v>
      </c>
    </row>
    <row r="5" spans="1:3" ht="15.75" customHeight="1" x14ac:dyDescent="0.3">
      <c r="B5" s="2"/>
      <c r="C5" s="9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9" t="s">
        <v>6</v>
      </c>
    </row>
    <row r="10" spans="1:3" ht="15.75" customHeight="1" x14ac:dyDescent="0.3">
      <c r="C10" s="9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9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9" t="s">
        <v>11</v>
      </c>
    </row>
    <row r="17" spans="2:3" ht="15.75" customHeight="1" x14ac:dyDescent="0.3">
      <c r="C17" s="9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tabSelected="1" topLeftCell="K1" zoomScaleNormal="100" workbookViewId="0">
      <selection activeCell="D38" sqref="D38"/>
    </sheetView>
  </sheetViews>
  <sheetFormatPr defaultColWidth="12.6640625" defaultRowHeight="15" customHeight="1" x14ac:dyDescent="0.25"/>
  <cols>
    <col min="1" max="1" width="12.6640625" customWidth="1"/>
    <col min="2" max="2" width="15.33203125" customWidth="1"/>
    <col min="3" max="3" width="13.6640625" customWidth="1"/>
    <col min="4" max="6" width="12.6640625" customWidth="1"/>
    <col min="7" max="7" width="15.44140625" customWidth="1"/>
    <col min="8" max="8" width="12" customWidth="1"/>
    <col min="9" max="9" width="17.33203125" customWidth="1"/>
    <col min="12" max="12" width="70.88671875" customWidth="1"/>
  </cols>
  <sheetData>
    <row r="1" spans="1:13" ht="15.75" customHeight="1" x14ac:dyDescent="0.25">
      <c r="A1" s="5" t="s">
        <v>17</v>
      </c>
      <c r="B1" s="11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2" t="s">
        <v>117</v>
      </c>
      <c r="H1" s="11" t="s">
        <v>121</v>
      </c>
      <c r="I1" s="11" t="s">
        <v>122</v>
      </c>
      <c r="J1" s="11" t="s">
        <v>123</v>
      </c>
    </row>
    <row r="2" spans="1:13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>IF(D2&gt;500,"High Price","Standard Price")</f>
        <v>High Price</v>
      </c>
      <c r="H2" s="13" t="str">
        <f>LEFT(Table2[[#This Row],[Product ID]],2)</f>
        <v>28</v>
      </c>
      <c r="I2" s="13" t="str">
        <f>RIGHT(Table2[[#This Row],[Product ID]],2)</f>
        <v>US</v>
      </c>
      <c r="J2" s="13" t="str">
        <f>MID(Table2[[#This Row],[Product ID]],4,3)</f>
        <v>JAN</v>
      </c>
    </row>
    <row r="3" spans="1:13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6" t="str">
        <f t="shared" ref="G3:G35" si="0">IF(D3&gt;500,"High Price","Standard Price")</f>
        <v>Standard Price</v>
      </c>
      <c r="H3" s="13" t="str">
        <f>LEFT(Table2[[#This Row],[Product ID]],2)</f>
        <v>15</v>
      </c>
      <c r="I3" s="13" t="str">
        <f>RIGHT(Table2[[#This Row],[Product ID]],2)</f>
        <v>US</v>
      </c>
      <c r="J3" s="13" t="str">
        <f>MID(Table2[[#This Row],[Product ID]],4,3)</f>
        <v>FEB</v>
      </c>
    </row>
    <row r="4" spans="1:13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 t="shared" si="0"/>
        <v>Standard Price</v>
      </c>
      <c r="H4" s="13" t="str">
        <f>LEFT(Table2[[#This Row],[Product ID]],2)</f>
        <v>03</v>
      </c>
      <c r="I4" s="13" t="str">
        <f>RIGHT(Table2[[#This Row],[Product ID]],2)</f>
        <v>US</v>
      </c>
      <c r="J4" s="13" t="str">
        <f>MID(Table2[[#This Row],[Product ID]],4,3)</f>
        <v>MAR</v>
      </c>
    </row>
    <row r="5" spans="1:13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6" t="str">
        <f t="shared" si="0"/>
        <v>High Price</v>
      </c>
      <c r="H5" s="13" t="str">
        <f>LEFT(Table2[[#This Row],[Product ID]],2)</f>
        <v>11</v>
      </c>
      <c r="I5" s="13" t="str">
        <f>RIGHT(Table2[[#This Row],[Product ID]],2)</f>
        <v>US</v>
      </c>
      <c r="J5" s="13" t="str">
        <f>MID(Table2[[#This Row],[Product ID]],4,3)</f>
        <v>APR</v>
      </c>
    </row>
    <row r="6" spans="1:13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 t="shared" si="0"/>
        <v>Standard Price</v>
      </c>
      <c r="H6" s="13" t="str">
        <f>LEFT(Table2[[#This Row],[Product ID]],2)</f>
        <v>22</v>
      </c>
      <c r="I6" s="13" t="str">
        <f>RIGHT(Table2[[#This Row],[Product ID]],2)</f>
        <v>US</v>
      </c>
      <c r="J6" s="13" t="str">
        <f>MID(Table2[[#This Row],[Product ID]],4,3)</f>
        <v>MAY</v>
      </c>
    </row>
    <row r="7" spans="1:13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6" t="str">
        <f t="shared" si="0"/>
        <v>Standard Price</v>
      </c>
      <c r="H7" s="13" t="str">
        <f>LEFT(Table2[[#This Row],[Product ID]],2)</f>
        <v>07</v>
      </c>
      <c r="I7" s="13" t="str">
        <f>RIGHT(Table2[[#This Row],[Product ID]],2)</f>
        <v>UK</v>
      </c>
      <c r="J7" s="13" t="str">
        <f>MID(Table2[[#This Row],[Product ID]],4,3)</f>
        <v>JUN</v>
      </c>
    </row>
    <row r="8" spans="1:13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 t="shared" si="0"/>
        <v>Standard Price</v>
      </c>
      <c r="H8" s="13" t="str">
        <f>LEFT(Table2[[#This Row],[Product ID]],2)</f>
        <v>19</v>
      </c>
      <c r="I8" s="13" t="str">
        <f>RIGHT(Table2[[#This Row],[Product ID]],2)</f>
        <v>UK</v>
      </c>
      <c r="J8" s="13" t="str">
        <f>MID(Table2[[#This Row],[Product ID]],4,3)</f>
        <v>JUL</v>
      </c>
    </row>
    <row r="9" spans="1:13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6" t="str">
        <f t="shared" si="0"/>
        <v>Standard Price</v>
      </c>
      <c r="H9" s="13" t="str">
        <f>LEFT(Table2[[#This Row],[Product ID]],2)</f>
        <v>23</v>
      </c>
      <c r="I9" s="13" t="str">
        <f>RIGHT(Table2[[#This Row],[Product ID]],2)</f>
        <v>UK</v>
      </c>
      <c r="J9" s="13" t="str">
        <f>MID(Table2[[#This Row],[Product ID]],4,3)</f>
        <v>AUG</v>
      </c>
    </row>
    <row r="10" spans="1:13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 t="shared" si="0"/>
        <v>Standard Price</v>
      </c>
      <c r="H10" s="13" t="str">
        <f>LEFT(Table2[[#This Row],[Product ID]],2)</f>
        <v>05</v>
      </c>
      <c r="I10" s="13" t="str">
        <f>RIGHT(Table2[[#This Row],[Product ID]],2)</f>
        <v>UK</v>
      </c>
      <c r="J10" s="13" t="str">
        <f>MID(Table2[[#This Row],[Product ID]],4,3)</f>
        <v>SEP</v>
      </c>
      <c r="L10" s="14" t="s">
        <v>110</v>
      </c>
      <c r="M10" s="15" t="s">
        <v>124</v>
      </c>
    </row>
    <row r="11" spans="1:13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6" t="str">
        <f t="shared" si="0"/>
        <v>Standard Price</v>
      </c>
      <c r="H11" s="13" t="str">
        <f>LEFT(Table2[[#This Row],[Product ID]],2)</f>
        <v>14</v>
      </c>
      <c r="I11" s="13" t="str">
        <f>RIGHT(Table2[[#This Row],[Product ID]],2)</f>
        <v>UK</v>
      </c>
      <c r="J11" s="13" t="str">
        <f>MID(Table2[[#This Row],[Product ID]],4,3)</f>
        <v>OCT</v>
      </c>
      <c r="L11" t="s">
        <v>111</v>
      </c>
      <c r="M11">
        <f>SUM(D2:D35)</f>
        <v>10100</v>
      </c>
    </row>
    <row r="12" spans="1:13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 t="shared" si="0"/>
        <v>High Price</v>
      </c>
      <c r="H12" s="13" t="str">
        <f>LEFT(Table2[[#This Row],[Product ID]],2)</f>
        <v>17</v>
      </c>
      <c r="I12" s="13" t="str">
        <f>RIGHT(Table2[[#This Row],[Product ID]],2)</f>
        <v>IN</v>
      </c>
      <c r="J12" s="13" t="str">
        <f>MID(Table2[[#This Row],[Product ID]],4,3)</f>
        <v>JUN</v>
      </c>
      <c r="L12" t="s">
        <v>112</v>
      </c>
      <c r="M12">
        <f>COUNT(D2:D35)</f>
        <v>34</v>
      </c>
    </row>
    <row r="13" spans="1:13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6" t="str">
        <f t="shared" si="0"/>
        <v>Standard Price</v>
      </c>
      <c r="H13" s="13" t="str">
        <f>LEFT(Table2[[#This Row],[Product ID]],2)</f>
        <v>25</v>
      </c>
      <c r="I13" s="13" t="str">
        <f>RIGHT(Table2[[#This Row],[Product ID]],2)</f>
        <v>AU</v>
      </c>
      <c r="J13" s="13" t="str">
        <f>MID(Table2[[#This Row],[Product ID]],4,3)</f>
        <v>NOV</v>
      </c>
      <c r="L13" t="s">
        <v>113</v>
      </c>
      <c r="M13">
        <f>AVERAGE(D2:D35)</f>
        <v>297.05882352941177</v>
      </c>
    </row>
    <row r="14" spans="1:13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 t="shared" si="0"/>
        <v>Standard Price</v>
      </c>
      <c r="H14" s="13" t="str">
        <f>LEFT(Table2[[#This Row],[Product ID]],2)</f>
        <v>08</v>
      </c>
      <c r="I14" s="13" t="str">
        <f>RIGHT(Table2[[#This Row],[Product ID]],2)</f>
        <v>DE</v>
      </c>
      <c r="J14" s="13" t="str">
        <f>MID(Table2[[#This Row],[Product ID]],4,3)</f>
        <v>DEC</v>
      </c>
    </row>
    <row r="15" spans="1:13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6" t="str">
        <f t="shared" si="0"/>
        <v>Standard Price</v>
      </c>
      <c r="H15" s="13" t="str">
        <f>LEFT(Table2[[#This Row],[Product ID]],2)</f>
        <v>18</v>
      </c>
      <c r="I15" s="13" t="str">
        <f>RIGHT(Table2[[#This Row],[Product ID]],2)</f>
        <v>CA</v>
      </c>
      <c r="J15" s="13" t="str">
        <f>MID(Table2[[#This Row],[Product ID]],4,3)</f>
        <v>FEB</v>
      </c>
      <c r="L15" s="8" t="s">
        <v>114</v>
      </c>
    </row>
    <row r="16" spans="1:13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 t="shared" si="0"/>
        <v>Standard Price</v>
      </c>
      <c r="H16" s="13" t="str">
        <f>LEFT(Table2[[#This Row],[Product ID]],2)</f>
        <v>16</v>
      </c>
      <c r="I16" s="13" t="str">
        <f>RIGHT(Table2[[#This Row],[Product ID]],2)</f>
        <v>ES</v>
      </c>
      <c r="J16" s="13" t="str">
        <f>MID(Table2[[#This Row],[Product ID]],4,3)</f>
        <v>APR</v>
      </c>
      <c r="L16" t="s">
        <v>115</v>
      </c>
      <c r="M16">
        <f>MIN(D:D)</f>
        <v>30</v>
      </c>
    </row>
    <row r="17" spans="1:13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6" t="str">
        <f t="shared" si="0"/>
        <v>Standard Price</v>
      </c>
      <c r="H17" s="13" t="str">
        <f>LEFT(Table2[[#This Row],[Product ID]],2)</f>
        <v>21</v>
      </c>
      <c r="I17" s="13" t="str">
        <f>RIGHT(Table2[[#This Row],[Product ID]],2)</f>
        <v>CA</v>
      </c>
      <c r="J17" s="13" t="str">
        <f>MID(Table2[[#This Row],[Product ID]],4,3)</f>
        <v>AUG</v>
      </c>
      <c r="L17" s="10" t="s">
        <v>116</v>
      </c>
      <c r="M17">
        <f>MAX(D:D)</f>
        <v>1000</v>
      </c>
    </row>
    <row r="18" spans="1:13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 t="shared" si="0"/>
        <v>Standard Price</v>
      </c>
      <c r="H18" s="13" t="str">
        <f>LEFT(Table2[[#This Row],[Product ID]],2)</f>
        <v>20</v>
      </c>
      <c r="I18" s="13" t="str">
        <f>RIGHT(Table2[[#This Row],[Product ID]],2)</f>
        <v>CN</v>
      </c>
      <c r="J18" s="13" t="str">
        <f>MID(Table2[[#This Row],[Product ID]],4,3)</f>
        <v>AUG</v>
      </c>
    </row>
    <row r="19" spans="1:13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6" t="str">
        <f t="shared" si="0"/>
        <v>High Price</v>
      </c>
      <c r="H19" s="13" t="str">
        <f>LEFT(Table2[[#This Row],[Product ID]],2)</f>
        <v>27</v>
      </c>
      <c r="I19" s="13" t="str">
        <f>RIGHT(Table2[[#This Row],[Product ID]],2)</f>
        <v>IT</v>
      </c>
      <c r="J19" s="13" t="str">
        <f>MID(Table2[[#This Row],[Product ID]],4,3)</f>
        <v>JAN</v>
      </c>
      <c r="L19" s="8" t="s">
        <v>118</v>
      </c>
    </row>
    <row r="20" spans="1:13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 t="shared" si="0"/>
        <v>Standard Price</v>
      </c>
      <c r="H20" s="13" t="str">
        <f>LEFT(Table2[[#This Row],[Product ID]],2)</f>
        <v>01</v>
      </c>
      <c r="I20" s="13" t="str">
        <f>RIGHT(Table2[[#This Row],[Product ID]],2)</f>
        <v>UK</v>
      </c>
      <c r="J20" s="13" t="str">
        <f>MID(Table2[[#This Row],[Product ID]],4,3)</f>
        <v>MAR</v>
      </c>
      <c r="L20" s="10" t="s">
        <v>119</v>
      </c>
      <c r="M20">
        <f>SUMIF(Table2[Category],"Electronics",Table2[Price ($)])</f>
        <v>8050</v>
      </c>
    </row>
    <row r="21" spans="1:13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6" t="str">
        <f t="shared" si="0"/>
        <v>Standard Price</v>
      </c>
      <c r="H21" s="13" t="str">
        <f>LEFT(Table2[[#This Row],[Product ID]],2)</f>
        <v>14</v>
      </c>
      <c r="I21" s="13" t="str">
        <f>RIGHT(Table2[[#This Row],[Product ID]],2)</f>
        <v>US</v>
      </c>
      <c r="J21" s="13" t="str">
        <f>MID(Table2[[#This Row],[Product ID]],4,3)</f>
        <v>AUG</v>
      </c>
      <c r="L21" t="s">
        <v>120</v>
      </c>
      <c r="M21">
        <f>COUNTIF(D:D,"&lt;100")</f>
        <v>11</v>
      </c>
    </row>
    <row r="22" spans="1:13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 t="shared" si="0"/>
        <v>High Price</v>
      </c>
      <c r="H22" s="13" t="str">
        <f>LEFT(Table2[[#This Row],[Product ID]],2)</f>
        <v>14</v>
      </c>
      <c r="I22" s="13" t="str">
        <f>RIGHT(Table2[[#This Row],[Product ID]],2)</f>
        <v>RU</v>
      </c>
      <c r="J22" s="13" t="str">
        <f>MID(Table2[[#This Row],[Product ID]],4,3)</f>
        <v>MAY</v>
      </c>
    </row>
    <row r="23" spans="1:13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6" t="str">
        <f t="shared" si="0"/>
        <v>Standard Price</v>
      </c>
      <c r="H23" s="13" t="str">
        <f>LEFT(Table2[[#This Row],[Product ID]],2)</f>
        <v>09</v>
      </c>
      <c r="I23" s="13" t="str">
        <f>RIGHT(Table2[[#This Row],[Product ID]],2)</f>
        <v>CA</v>
      </c>
      <c r="J23" s="13" t="str">
        <f>MID(Table2[[#This Row],[Product ID]],4,3)</f>
        <v>JAN</v>
      </c>
    </row>
    <row r="24" spans="1:13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 t="shared" si="0"/>
        <v>Standard Price</v>
      </c>
      <c r="H24" s="13" t="str">
        <f>LEFT(Table2[[#This Row],[Product ID]],2)</f>
        <v>19</v>
      </c>
      <c r="I24" s="13" t="str">
        <f>RIGHT(Table2[[#This Row],[Product ID]],2)</f>
        <v>BR</v>
      </c>
      <c r="J24" s="13" t="str">
        <f>MID(Table2[[#This Row],[Product ID]],4,3)</f>
        <v>JUL</v>
      </c>
    </row>
    <row r="25" spans="1:13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6" t="str">
        <f t="shared" si="0"/>
        <v>Standard Price</v>
      </c>
      <c r="H25" s="13" t="str">
        <f>LEFT(Table2[[#This Row],[Product ID]],2)</f>
        <v>21</v>
      </c>
      <c r="I25" s="13" t="str">
        <f>RIGHT(Table2[[#This Row],[Product ID]],2)</f>
        <v>CA</v>
      </c>
      <c r="J25" s="13" t="str">
        <f>MID(Table2[[#This Row],[Product ID]],4,3)</f>
        <v>AUG</v>
      </c>
    </row>
    <row r="26" spans="1:13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f t="shared" si="0"/>
        <v>High Price</v>
      </c>
      <c r="H26" s="13" t="str">
        <f>LEFT(Table2[[#This Row],[Product ID]],2)</f>
        <v>29</v>
      </c>
      <c r="I26" s="13" t="str">
        <f>RIGHT(Table2[[#This Row],[Product ID]],2)</f>
        <v>CA</v>
      </c>
      <c r="J26" s="13" t="str">
        <f>MID(Table2[[#This Row],[Product ID]],4,3)</f>
        <v>SEP</v>
      </c>
    </row>
    <row r="27" spans="1:13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6" t="str">
        <f t="shared" si="0"/>
        <v>Standard Price</v>
      </c>
      <c r="H27" s="13" t="str">
        <f>LEFT(Table2[[#This Row],[Product ID]],2)</f>
        <v>03</v>
      </c>
      <c r="I27" s="13" t="str">
        <f>RIGHT(Table2[[#This Row],[Product ID]],2)</f>
        <v>CA</v>
      </c>
      <c r="J27" s="13" t="str">
        <f>MID(Table2[[#This Row],[Product ID]],4,3)</f>
        <v>JUN</v>
      </c>
    </row>
    <row r="28" spans="1:13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f t="shared" si="0"/>
        <v>Standard Price</v>
      </c>
      <c r="H28" s="13" t="str">
        <f>LEFT(Table2[[#This Row],[Product ID]],2)</f>
        <v>11</v>
      </c>
      <c r="I28" s="13" t="str">
        <f>RIGHT(Table2[[#This Row],[Product ID]],2)</f>
        <v>CA</v>
      </c>
      <c r="J28" s="13" t="str">
        <f>MID(Table2[[#This Row],[Product ID]],4,3)</f>
        <v>JUL</v>
      </c>
    </row>
    <row r="29" spans="1:13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6" t="str">
        <f t="shared" si="0"/>
        <v>Standard Price</v>
      </c>
      <c r="H29" s="13" t="str">
        <f>LEFT(Table2[[#This Row],[Product ID]],2)</f>
        <v>16</v>
      </c>
      <c r="I29" s="13" t="str">
        <f>RIGHT(Table2[[#This Row],[Product ID]],2)</f>
        <v>ES</v>
      </c>
      <c r="J29" s="13" t="str">
        <f>MID(Table2[[#This Row],[Product ID]],4,3)</f>
        <v>APR</v>
      </c>
    </row>
    <row r="30" spans="1:13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f t="shared" si="0"/>
        <v>Standard Price</v>
      </c>
      <c r="H30" s="13" t="str">
        <f>LEFT(Table2[[#This Row],[Product ID]],2)</f>
        <v>07</v>
      </c>
      <c r="I30" s="13" t="str">
        <f>RIGHT(Table2[[#This Row],[Product ID]],2)</f>
        <v>CA</v>
      </c>
      <c r="J30" s="13" t="str">
        <f>MID(Table2[[#This Row],[Product ID]],4,3)</f>
        <v>MAR</v>
      </c>
    </row>
    <row r="31" spans="1:13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6" t="str">
        <f t="shared" si="0"/>
        <v>Standard Price</v>
      </c>
      <c r="H31" s="13" t="str">
        <f>LEFT(Table2[[#This Row],[Product ID]],2)</f>
        <v>13</v>
      </c>
      <c r="I31" s="13" t="str">
        <f>RIGHT(Table2[[#This Row],[Product ID]],2)</f>
        <v>CA</v>
      </c>
      <c r="J31" s="13" t="str">
        <f>MID(Table2[[#This Row],[Product ID]],4,3)</f>
        <v>APR</v>
      </c>
    </row>
    <row r="32" spans="1:13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f t="shared" si="0"/>
        <v>Standard Price</v>
      </c>
      <c r="H32" s="13" t="str">
        <f>LEFT(Table2[[#This Row],[Product ID]],2)</f>
        <v>24</v>
      </c>
      <c r="I32" s="13" t="str">
        <f>RIGHT(Table2[[#This Row],[Product ID]],2)</f>
        <v>CA</v>
      </c>
      <c r="J32" s="13" t="str">
        <f>MID(Table2[[#This Row],[Product ID]],4,3)</f>
        <v>MAY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6" t="str">
        <f t="shared" si="0"/>
        <v>Standard Price</v>
      </c>
      <c r="H33" s="13" t="str">
        <f>LEFT(Table2[[#This Row],[Product ID]],2)</f>
        <v>02</v>
      </c>
      <c r="I33" s="13" t="str">
        <f>RIGHT(Table2[[#This Row],[Product ID]],2)</f>
        <v>CA</v>
      </c>
      <c r="J33" s="13" t="str">
        <f>MID(Table2[[#This Row],[Product ID]],4,3)</f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f t="shared" si="0"/>
        <v>High Price</v>
      </c>
      <c r="H34" s="13" t="str">
        <f>LEFT(Table2[[#This Row],[Product ID]],2)</f>
        <v>17</v>
      </c>
      <c r="I34" s="13" t="str">
        <f>RIGHT(Table2[[#This Row],[Product ID]],2)</f>
        <v>IN</v>
      </c>
      <c r="J34" s="13" t="str">
        <f>MID(Table2[[#This Row],[Product ID]],4,3)</f>
        <v>JUN</v>
      </c>
    </row>
    <row r="35" spans="1:10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6" t="str">
        <f t="shared" si="0"/>
        <v>Standard Price</v>
      </c>
      <c r="H35" s="13" t="str">
        <f>LEFT(Table2[[#This Row],[Product ID]],2)</f>
        <v>09</v>
      </c>
      <c r="I35" s="13" t="str">
        <f>RIGHT(Table2[[#This Row],[Product ID]],2)</f>
        <v>FR</v>
      </c>
      <c r="J35" s="13" t="str">
        <f>MID(Table2[[#This Row],[Product ID]],4,3)</f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S Sreehari</cp:lastModifiedBy>
  <dcterms:created xsi:type="dcterms:W3CDTF">2026-09-14T16:46:00Z</dcterms:created>
  <dcterms:modified xsi:type="dcterms:W3CDTF">2026-09-16T07:53:17Z</dcterms:modified>
</cp:coreProperties>
</file>